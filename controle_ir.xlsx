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ULAR" sheetId="1" state="visible" r:id="rId3"/>
    <sheet name="INFORMES" sheetId="2" state="visible" r:id="rId4"/>
    <sheet name="NOTAS" sheetId="3" state="visible" r:id="rId5"/>
    <sheet name="Listas" sheetId="4" state="hidden" r:id="rId6"/>
  </sheets>
  <definedNames>
    <definedName function="false" hidden="false" name="Ano_Calendario" vbProcedure="false">TITULAR!$D$5</definedName>
    <definedName function="false" hidden="false" name="Limite_Educacao" vbProcedure="false">NOTAS!$F$37</definedName>
    <definedName function="false" hidden="false" name="Lista_CategDesp" vbProcedure="false">Listas!$C$2:$C$6</definedName>
    <definedName function="false" hidden="false" name="Lista_SimNao" vbProcedure="false">Listas!$A$2:$A$3</definedName>
    <definedName function="false" hidden="false" name="Lista_Status" vbProcedure="false">Listas!$D$2:$D$3</definedName>
    <definedName function="false" hidden="false" name="Lista_TipoRend" vbProcedure="false">Listas!$B$2:$B$7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<sst xmlns="http://schemas.openxmlformats.org/spreadsheetml/2006/main" count="115" uniqueCount="86">
  <si>
    <t xml:space="preserve">IR FÁCIL</t>
  </si>
  <si>
    <t xml:space="preserve">1. DADOS DO TITULAR</t>
  </si>
  <si>
    <t xml:space="preserve">Imposto de Renda</t>
  </si>
  <si>
    <t xml:space="preserve">preencha os dados da sua pessoa física abaixo</t>
  </si>
  <si>
    <t xml:space="preserve">Preencha as células sombreadas. Os dados de exemplo são fictícios: substitua pelos seus.</t>
  </si>
  <si>
    <t xml:space="preserve">ANO-CALENDÁRIO</t>
  </si>
  <si>
    <t xml:space="preserve">NOME</t>
  </si>
  <si>
    <t xml:space="preserve">Joana Exemplo da Silva</t>
  </si>
  <si>
    <t xml:space="preserve">CPF</t>
  </si>
  <si>
    <t xml:space="preserve">123.456.789-09</t>
  </si>
  <si>
    <t xml:space="preserve">NASCIMENTO</t>
  </si>
  <si>
    <t xml:space="preserve">TÍTULO DE ELEITOR</t>
  </si>
  <si>
    <t xml:space="preserve">012345678901</t>
  </si>
  <si>
    <t xml:space="preserve">CÔNJUGE</t>
  </si>
  <si>
    <t xml:space="preserve">Carlos Exemplo da Silva</t>
  </si>
  <si>
    <t xml:space="preserve">RUA</t>
  </si>
  <si>
    <t xml:space="preserve">Rua dos Limoeiros, Residencial das Flores - Nº 180</t>
  </si>
  <si>
    <t xml:space="preserve">RUA ABREVIADA (automático)</t>
  </si>
  <si>
    <t xml:space="preserve">CEP</t>
  </si>
  <si>
    <t xml:space="preserve">01000-000</t>
  </si>
  <si>
    <t xml:space="preserve">TELEFONE</t>
  </si>
  <si>
    <t xml:space="preserve">(11) 3000-0000</t>
  </si>
  <si>
    <t xml:space="preserve">CELULAR</t>
  </si>
  <si>
    <t xml:space="preserve">(11) 90000-0000</t>
  </si>
  <si>
    <t xml:space="preserve">E-MAIL</t>
  </si>
  <si>
    <t xml:space="preserve">joana.exemplo@email.com</t>
  </si>
  <si>
    <t xml:space="preserve">HOUVE ALTERAÇÕES DA ENTREGA ANTERIOR</t>
  </si>
  <si>
    <t xml:space="preserve">SIM</t>
  </si>
  <si>
    <t xml:space="preserve">DEPENDENTE CÔNJUGE</t>
  </si>
  <si>
    <t xml:space="preserve">NÃO</t>
  </si>
  <si>
    <t xml:space="preserve">RESIDENTE DO EXTERIOR</t>
  </si>
  <si>
    <t xml:space="preserve">PREENCHIMENTO</t>
  </si>
  <si>
    <t xml:space="preserve">dos campos desta tela preenchidos</t>
  </si>
  <si>
    <t xml:space="preserve">2. INFORMES DE RENDIMENTOS</t>
  </si>
  <si>
    <t xml:space="preserve">informe cada fonte pagadora que enviou um informe de rendimentos no ano-calendário</t>
  </si>
  <si>
    <t xml:space="preserve">FONTE PAGADORA</t>
  </si>
  <si>
    <t xml:space="preserve">CNPJ / CPF</t>
  </si>
  <si>
    <t xml:space="preserve">TIPO DE RENDIMENTO</t>
  </si>
  <si>
    <t xml:space="preserve">RENDIMENTO ANUAL (R$)</t>
  </si>
  <si>
    <t xml:space="preserve">IR RETIDO (R$)</t>
  </si>
  <si>
    <t xml:space="preserve">COMPROVANTE</t>
  </si>
  <si>
    <t xml:space="preserve">Empresa Exemplo Ltda</t>
  </si>
  <si>
    <t xml:space="preserve">12.345.678/0001-90</t>
  </si>
  <si>
    <t xml:space="preserve">Salário</t>
  </si>
  <si>
    <t xml:space="preserve">Recebido</t>
  </si>
  <si>
    <t xml:space="preserve">Banco Exemplo S.A.</t>
  </si>
  <si>
    <t xml:space="preserve">98.765.432/0001-10</t>
  </si>
  <si>
    <t xml:space="preserve">Aplicações financeiras</t>
  </si>
  <si>
    <t xml:space="preserve">Pendente</t>
  </si>
  <si>
    <t xml:space="preserve">Imobiliária Modelo Ltda</t>
  </si>
  <si>
    <t xml:space="preserve">11.222.333/0001-44</t>
  </si>
  <si>
    <t xml:space="preserve">Aluguel</t>
  </si>
  <si>
    <t xml:space="preserve">TOTAL</t>
  </si>
  <si>
    <t xml:space="preserve">RESUMO POR TIPO DE RENDIMENTO</t>
  </si>
  <si>
    <t xml:space="preserve">TIPO</t>
  </si>
  <si>
    <t xml:space="preserve">RENDIMENTO (R$)</t>
  </si>
  <si>
    <t xml:space="preserve">3. NOTAS E DESPESAS DEDUTÍVEIS</t>
  </si>
  <si>
    <t xml:space="preserve">registre despesas médicas, de educação e outras que podem ser deduzidas</t>
  </si>
  <si>
    <t xml:space="preserve">DATA</t>
  </si>
  <si>
    <t xml:space="preserve">DESCRIÇÃO</t>
  </si>
  <si>
    <t xml:space="preserve">CATEGORIA</t>
  </si>
  <si>
    <t xml:space="preserve">VALOR (R$)</t>
  </si>
  <si>
    <t xml:space="preserve">Nº DO RECIBO / NOTA</t>
  </si>
  <si>
    <t xml:space="preserve">Consulta clínica geral</t>
  </si>
  <si>
    <t xml:space="preserve">Saúde</t>
  </si>
  <si>
    <t xml:space="preserve">Recibo 0012</t>
  </si>
  <si>
    <t xml:space="preserve">Mensalidade escolar (fevereiro)</t>
  </si>
  <si>
    <t xml:space="preserve">Educação</t>
  </si>
  <si>
    <t xml:space="preserve">NF 4587</t>
  </si>
  <si>
    <t xml:space="preserve">Contribuição PGBL</t>
  </si>
  <si>
    <t xml:space="preserve">Previdência privada (PGBL)</t>
  </si>
  <si>
    <t xml:space="preserve">Informe 2025</t>
  </si>
  <si>
    <t xml:space="preserve">RESUMO POR CATEGORIA</t>
  </si>
  <si>
    <t xml:space="preserve">LANÇAMENTOS</t>
  </si>
  <si>
    <t xml:space="preserve">TOTAL (R$)</t>
  </si>
  <si>
    <t xml:space="preserve">% DO TOTAL</t>
  </si>
  <si>
    <t xml:space="preserve">Limite anual de educação (por pessoa)</t>
  </si>
  <si>
    <t xml:space="preserve">Educação considerada (até o limite)</t>
  </si>
  <si>
    <t xml:space="preserve">O limite é um valor de referência editável (premissa minha): confirme o vigente no site da Receita Federal.</t>
  </si>
  <si>
    <t xml:space="preserve">SIM / NÃO</t>
  </si>
  <si>
    <t xml:space="preserve">CATEGORIA DE DESPESA</t>
  </si>
  <si>
    <t xml:space="preserve">Pró-labore</t>
  </si>
  <si>
    <t xml:space="preserve">Pensão alimentícia</t>
  </si>
  <si>
    <t xml:space="preserve">Dividendos</t>
  </si>
  <si>
    <t xml:space="preserve">Outras</t>
  </si>
  <si>
    <t xml:space="preserve">Outros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</si>
</sst>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dd/mm/yyyy"/>
    <numFmt numFmtId="167" formatCode="@"/>
    <numFmt numFmtId="168" formatCode="0%"/>
    <numFmt numFmtId="169" formatCode="&quot;R$ &quot;#,##0.00;&quot;(R$ &quot;#,##0.00\);\-"/>
    <numFmt numFmtId="170" formatCode="General"/>
    <numFmt numFmtId="171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5"/>
      <color rgb="FF0F766E"/>
      <name val="Arial"/>
      <family val="0"/>
      <charset val="1"/>
    </font>
    <font>
      <sz val="9"/>
      <color rgb="FF99F6E4"/>
      <name val="Arial"/>
      <family val="0"/>
      <charset val="1"/>
    </font>
    <font>
      <i val="true"/>
      <sz val="9"/>
      <color rgb="FF134E4A"/>
      <name val="Arial"/>
      <family val="0"/>
      <charset val="1"/>
    </font>
    <font>
      <i val="true"/>
      <sz val="8"/>
      <color rgb="FF64748B"/>
      <name val="Arial"/>
      <family val="0"/>
      <charset val="1"/>
    </font>
    <font>
      <sz val="10"/>
      <color rgb="FF475569"/>
      <name val="Arial"/>
      <family val="0"/>
      <charset val="1"/>
    </font>
    <font>
      <sz val="10"/>
      <color rgb="FF134E4A"/>
      <name val="Arial"/>
      <family val="0"/>
      <charset val="1"/>
    </font>
    <font>
      <b val="true"/>
      <sz val="13"/>
      <color rgb="FF0B1F23"/>
      <name val="Arial"/>
      <family val="0"/>
      <charset val="1"/>
    </font>
    <font>
      <sz val="13"/>
      <color rgb="FFE2E8F0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sz val="10"/>
      <color rgb="FF99F6E4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1"/>
      <color rgb="FF0F766E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F23"/>
        <bgColor rgb="FF1F2937"/>
      </patternFill>
    </fill>
    <fill>
      <patternFill patternType="solid">
        <fgColor rgb="FFCCFBF1"/>
        <bgColor rgb="FFDCFCE7"/>
      </patternFill>
    </fill>
    <fill>
      <patternFill patternType="solid">
        <fgColor rgb="FFE0F2F1"/>
        <bgColor rgb="FFE2E8F0"/>
      </patternFill>
    </fill>
    <fill>
      <patternFill patternType="solid">
        <fgColor rgb="FF2DD4BF"/>
        <bgColor rgb="FF00CCFF"/>
      </patternFill>
    </fill>
    <fill>
      <patternFill patternType="solid">
        <fgColor rgb="FFF1F5F9"/>
        <bgColor rgb="FFE0F2F1"/>
      </patternFill>
    </fill>
    <fill>
      <patternFill patternType="solid">
        <fgColor rgb="FFF59E0B"/>
        <bgColor rgb="FFFFCC00"/>
      </patternFill>
    </fill>
    <fill>
      <patternFill patternType="solid">
        <fgColor rgb="FF0F766E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766E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 style="thin">
        <color rgb="FF99D5CC"/>
      </left>
      <right style="thin">
        <color rgb="FF99D5CC"/>
      </right>
      <top style="thin">
        <color rgb="FF99D5CC"/>
      </top>
      <bottom style="thin">
        <color rgb="FF99D5CC"/>
      </bottom>
      <diagonal/>
    </border>
    <border diagonalUp="false" diagonalDown="false">
      <left/>
      <right/>
      <top style="thin">
        <color rgb="FF2DD4BF"/>
      </top>
      <bottom/>
      <diagonal/>
    </border>
    <border diagonalUp="false" diagonalDown="false">
      <left/>
      <right/>
      <top style="medium">
        <color rgb="FF0F766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EE2E2"/>
        </patternFill>
      </fill>
    </dxf>
    <dxf>
      <font>
        <name val="Arial"/>
        <charset val="1"/>
        <family val="0"/>
        <b val="1"/>
        <color rgb="FFB45309"/>
      </font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99F6E4"/>
      <rgbColor rgb="FF808080"/>
      <rgbColor rgb="FF9999FF"/>
      <rgbColor rgb="FFB91C1C"/>
      <rgbColor rgb="FFF1F5F9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E0F2F1"/>
      <rgbColor rgb="FFE2E8F0"/>
      <rgbColor rgb="FF99D5CC"/>
      <rgbColor rgb="FFFF99CC"/>
      <rgbColor rgb="FFCC99FF"/>
      <rgbColor rgb="FFFEE2E2"/>
      <rgbColor rgb="FF3366FF"/>
      <rgbColor rgb="FF2DD4BF"/>
      <rgbColor rgb="FF99CC00"/>
      <rgbColor rgb="FFFFCC00"/>
      <rgbColor rgb="FFF59E0B"/>
      <rgbColor rgb="FFFF6600"/>
      <rgbColor rgb="FF64748B"/>
      <rgbColor rgb="FF969696"/>
      <rgbColor rgb="FF134E4A"/>
      <rgbColor rgb="FF339966"/>
      <rgbColor rgb="FF0B1F23"/>
      <rgbColor rgb="FF333300"/>
      <rgbColor rgb="FF991B1B"/>
      <rgbColor rgb="FFB45309"/>
      <rgbColor rgb="FF47556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"/>
    <col collapsed="false" customWidth="true" hidden="false" outlineLevel="0" max="4" min="3" style="0" width="46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/>
    </row>
    <row r="2" customFormat="false" ht="33.75" hidden="false" customHeight="true" outlineLevel="0" collapsed="false">
      <c r="A2" s="2" t="s">
        <v>0</v>
      </c>
      <c r="C2" s="3" t="s">
        <v>1</v>
      </c>
      <c r="D2" s="4"/>
      <c r="E2" s="4"/>
    </row>
    <row r="3" customFormat="false" ht="15" hidden="false" customHeight="false" outlineLevel="0" collapsed="false">
      <c r="A3" s="5" t="s">
        <v>2</v>
      </c>
      <c r="C3" s="6" t="s">
        <v>3</v>
      </c>
      <c r="D3" s="7"/>
      <c r="E3" s="7"/>
    </row>
    <row r="4" customFormat="false" ht="15" hidden="false" customHeight="false" outlineLevel="0" collapsed="false">
      <c r="A4" s="1"/>
      <c r="C4" s="8" t="s">
        <v>4</v>
      </c>
    </row>
    <row r="5" customFormat="false" ht="19.5" hidden="false" customHeight="true" outlineLevel="0" collapsed="false">
      <c r="A5" s="1"/>
      <c r="C5" s="9" t="s">
        <v>5</v>
      </c>
      <c r="D5" s="10" t="n">
        <v>2025</v>
      </c>
    </row>
    <row r="6" customFormat="false" ht="19.5" hidden="false" customHeight="true" outlineLevel="0" collapsed="false">
      <c r="A6" s="11" t="str">
        <f aca="false">HYPERLINK("#'TITULAR'!A1","TITULAR")</f>
        <v>TITULAR</v>
      </c>
      <c r="C6" s="9" t="s">
        <v>6</v>
      </c>
      <c r="D6" s="12" t="s">
        <v>7</v>
      </c>
    </row>
    <row r="7" customFormat="false" ht="19.5" hidden="false" customHeight="true" outlineLevel="0" collapsed="false">
      <c r="A7" s="1"/>
      <c r="C7" s="9" t="s">
        <v>8</v>
      </c>
      <c r="D7" s="12" t="s">
        <v>9</v>
      </c>
    </row>
    <row r="8" customFormat="false" ht="19.5" hidden="false" customHeight="true" outlineLevel="0" collapsed="false">
      <c r="A8" s="13" t="str">
        <f aca="false">HYPERLINK("#'INFORMES'!A1","INFORMES")</f>
        <v>INFORMES</v>
      </c>
      <c r="C8" s="9" t="s">
        <v>10</v>
      </c>
      <c r="D8" s="14" t="n">
        <v>33008</v>
      </c>
    </row>
    <row r="9" customFormat="false" ht="19.5" hidden="false" customHeight="true" outlineLevel="0" collapsed="false">
      <c r="A9" s="1"/>
      <c r="C9" s="9" t="s">
        <v>11</v>
      </c>
      <c r="D9" s="15" t="s">
        <v>12</v>
      </c>
    </row>
    <row r="10" customFormat="false" ht="19.5" hidden="false" customHeight="true" outlineLevel="0" collapsed="false">
      <c r="A10" s="13" t="str">
        <f aca="false">HYPERLINK("#'NOTAS'!A1","NOTAS")</f>
        <v>NOTAS</v>
      </c>
      <c r="C10" s="9" t="s">
        <v>13</v>
      </c>
      <c r="D10" s="12" t="s">
        <v>14</v>
      </c>
    </row>
    <row r="11" customFormat="false" ht="19.5" hidden="false" customHeight="true" outlineLevel="0" collapsed="false">
      <c r="A11" s="1"/>
      <c r="C11" s="9" t="s">
        <v>15</v>
      </c>
      <c r="D11" s="12" t="s">
        <v>16</v>
      </c>
    </row>
    <row r="12" customFormat="false" ht="19.5" hidden="false" customHeight="true" outlineLevel="0" collapsed="false">
      <c r="A12" s="1"/>
      <c r="C12" s="9" t="s">
        <v>17</v>
      </c>
      <c r="D12" s="16" t="str">
        <f aca="false">IF(D11="","",IF(LEN(D11)&gt;30,LEFT(D11,29)&amp;"…",D11))</f>
        <v>Rua dos Limoeiros, Residencia…</v>
      </c>
    </row>
    <row r="13" customFormat="false" ht="19.5" hidden="false" customHeight="true" outlineLevel="0" collapsed="false">
      <c r="A13" s="17"/>
      <c r="C13" s="9" t="s">
        <v>18</v>
      </c>
      <c r="D13" s="15" t="s">
        <v>19</v>
      </c>
    </row>
    <row r="14" customFormat="false" ht="19.5" hidden="false" customHeight="true" outlineLevel="0" collapsed="false">
      <c r="A14" s="18" t="str">
        <f aca="false">"Ano-calendário "&amp;Ano_Calendario</f>
        <v>Ano-calendário 2025</v>
      </c>
      <c r="C14" s="9" t="s">
        <v>20</v>
      </c>
      <c r="D14" s="15" t="s">
        <v>21</v>
      </c>
    </row>
    <row r="15" customFormat="false" ht="19.5" hidden="false" customHeight="true" outlineLevel="0" collapsed="false">
      <c r="A15" s="1"/>
      <c r="C15" s="9" t="s">
        <v>22</v>
      </c>
      <c r="D15" s="15" t="s">
        <v>23</v>
      </c>
    </row>
    <row r="16" customFormat="false" ht="19.5" hidden="false" customHeight="true" outlineLevel="0" collapsed="false">
      <c r="A16" s="1"/>
      <c r="C16" s="9" t="s">
        <v>24</v>
      </c>
      <c r="D16" s="12" t="s">
        <v>25</v>
      </c>
    </row>
    <row r="17" customFormat="false" ht="19.5" hidden="false" customHeight="true" outlineLevel="0" collapsed="false">
      <c r="A17" s="1"/>
      <c r="C17" s="9" t="s">
        <v>26</v>
      </c>
      <c r="D17" s="12" t="s">
        <v>27</v>
      </c>
    </row>
    <row r="18" customFormat="false" ht="19.5" hidden="false" customHeight="true" outlineLevel="0" collapsed="false">
      <c r="A18" s="1"/>
      <c r="C18" s="9" t="s">
        <v>28</v>
      </c>
      <c r="D18" s="12" t="s">
        <v>29</v>
      </c>
      <c r="E18" s="19" t="str">
        <f aca="false">IF(AND(D18="SIM",D10=""),"Atenção: informe o nome do cônjuge","")</f>
        <v/>
      </c>
    </row>
    <row r="19" customFormat="false" ht="19.5" hidden="false" customHeight="true" outlineLevel="0" collapsed="false">
      <c r="A19" s="1"/>
      <c r="C19" s="9" t="s">
        <v>30</v>
      </c>
      <c r="D19" s="12" t="s">
        <v>29</v>
      </c>
    </row>
    <row r="20" customFormat="false" ht="15" hidden="false" customHeight="false" outlineLevel="0" collapsed="false">
      <c r="A20" s="1"/>
    </row>
    <row r="21" customFormat="false" ht="15" hidden="false" customHeight="false" outlineLevel="0" collapsed="false">
      <c r="A21" s="1"/>
      <c r="C21" s="20" t="s">
        <v>31</v>
      </c>
      <c r="D21" s="21" t="n">
        <f aca="false">(COUNTA(D5:D11)+COUNTA(D13:D19))/(ROWS(D5:D11)+ROWS(D13:D19))</f>
        <v>1</v>
      </c>
      <c r="E21" s="22" t="s">
        <v>32</v>
      </c>
    </row>
    <row r="22" customFormat="false" ht="15" hidden="false" customHeight="false" outlineLevel="0" collapsed="false">
      <c r="A22" s="1"/>
    </row>
    <row r="23" customFormat="false" ht="27.75" hidden="false" customHeight="true" outlineLevel="0" collapsed="false">
      <c r="A23" s="1"/>
      <c r="D23" s="23" t="str">
        <f aca="false">HYPERLINK("#'INFORMES'!A1","PRÓXIMO →")</f>
        <v>PRÓXIMO →</v>
      </c>
    </row>
    <row r="24" customFormat="false" ht="15" hidden="false" customHeight="false" outlineLevel="0" collapsed="false">
      <c r="A24" s="1"/>
    </row>
    <row r="25" customFormat="false" ht="15" hidden="false" customHeight="false" outlineLevel="0" collapsed="false">
      <c r="A25" s="1"/>
    </row>
    <row r="26" customFormat="false" ht="15" hidden="false" customHeight="false" outlineLevel="0" collapsed="false">
      <c r="A26" s="1"/>
    </row>
    <row r="27" customFormat="false" ht="15" hidden="false" customHeight="false" outlineLevel="0" collapsed="false">
      <c r="A27" s="1"/>
    </row>
    <row r="28" customFormat="false" ht="15" hidden="false" customHeight="false" outlineLevel="0" collapsed="false">
      <c r="A28" s="1"/>
    </row>
    <row r="29" customFormat="false" ht="15" hidden="false" customHeight="false" outlineLevel="0" collapsed="false">
      <c r="A29" s="1"/>
    </row>
    <row r="30" customFormat="false" ht="15" hidden="false" customHeight="false" outlineLevel="0" collapsed="false">
      <c r="A30" s="1"/>
    </row>
    <row r="31" customFormat="false" ht="15" hidden="false" customHeight="false" outlineLevel="0" collapsed="false">
      <c r="A31" s="1"/>
    </row>
    <row r="32" customFormat="false" ht="15" hidden="false" customHeight="false" outlineLevel="0" collapsed="false">
      <c r="A32" s="1"/>
    </row>
    <row r="33" customFormat="false" ht="15" hidden="false" customHeight="false" outlineLevel="0" collapsed="false">
      <c r="A33" s="1"/>
    </row>
    <row r="34" customFormat="false" ht="15" hidden="false" customHeight="false" outlineLevel="0" collapsed="false">
      <c r="A34" s="1"/>
    </row>
    <row r="35" customFormat="false" ht="15" hidden="false" customHeight="false" outlineLevel="0" collapsed="false">
      <c r="A35" s="1"/>
    </row>
    <row r="36" customFormat="false" ht="15" hidden="false" customHeight="false" outlineLevel="0" collapsed="false">
      <c r="A36" s="1"/>
    </row>
    <row r="37" customFormat="false" ht="15" hidden="false" customHeight="false" outlineLevel="0" collapsed="false">
      <c r="A37" s="1"/>
    </row>
    <row r="38" customFormat="false" ht="15" hidden="false" customHeight="false" outlineLevel="0" collapsed="false">
      <c r="A38" s="1"/>
    </row>
    <row r="39" customFormat="false" ht="15" hidden="false" customHeight="false" outlineLevel="0" collapsed="false">
      <c r="A39" s="1"/>
    </row>
    <row r="40" customFormat="false" ht="15" hidden="false" customHeight="false" outlineLevel="0" collapsed="false">
      <c r="A40" s="1"/>
    </row>
    <row r="41" customFormat="false" ht="15" hidden="false" customHeight="false" outlineLevel="0" collapsed="false">
      <c r="A41" s="1"/>
    </row>
    <row r="42" customFormat="false" ht="15" hidden="false" customHeight="false" outlineLevel="0" collapsed="false">
      <c r="A42" s="1"/>
    </row>
    <row r="43" customFormat="false" ht="15" hidden="false" customHeight="false" outlineLevel="0" collapsed="false">
      <c r="A43" s="1"/>
    </row>
    <row r="44" customFormat="false" ht="15" hidden="false" customHeight="false" outlineLevel="0" collapsed="false">
      <c r="A44" s="1"/>
    </row>
    <row r="45" customFormat="false" ht="15" hidden="false" customHeight="false" outlineLevel="0" collapsed="false">
      <c r="A45" s="1"/>
    </row>
  </sheetData>
  <conditionalFormatting sqref="D18">
    <cfRule type="expression" priority="2" aboveAverage="0" equalAverage="0" bottom="0" percent="0" rank="0" text="" dxfId="0">
      <formula>AND($D$18="SIM",$D$10="")</formula>
    </cfRule>
  </conditionalFormatting>
  <conditionalFormatting sqref="D21">
    <cfRule type="cellIs" priority="3" operator="lessThan" aboveAverage="0" equalAverage="0" bottom="0" percent="0" rank="0" text="" dxfId="1">
      <formula>1</formula>
    </cfRule>
  </conditionalFormatting>
  <dataValidations count="11">
    <dataValidation allowBlank="true" error="Informe o ano com 4 dígitos (ex.: 2025)." errorStyle="stop" errorTitle="Ano inválido" operator="between" prompt="Ano em que os rendimentos foram recebidos." promptTitle="Ano-calendário" showDropDown="false" showErrorMessage="true" showInputMessage="true" sqref="D5" type="whole">
      <formula1>2000</formula1>
      <formula2>2100</formula2>
    </dataValidation>
    <dataValidation allowBlank="true" error="Informe o nome completo." errorStyle="stop" errorTitle="Nome inválido" operator="greaterThanOrEqual" prompt="Nome completo, como no CPF." promptTitle="Nome" showDropDown="false" showErrorMessage="true" showInputMessage="true" sqref="D6" type="textLength">
      <formula1>5</formula1>
      <formula2>0</formula2>
    </dataValidation>
    <dataValidation allowBlank="true" error="Use o formato 000.000.000-00." errorStyle="stop" errorTitle="CPF inválido" operator="between" prompt="Formato: 000.000.000-00" promptTitle="CPF" showDropDown="false" showErrorMessage="true" showInputMessage="true" sqref="D7" type="custom">
      <formula1>AND(LEN(D7)=14,MID(D7,4,1)=".",MID(D7,8,1)=".",MID(D7,12,1)="-")</formula1>
      <formula2>0</formula2>
    </dataValidation>
    <dataValidation allowBlank="true" error="Informe uma data de nascimento válida (dd/mm/aaaa), não futura." errorStyle="stop" errorTitle="Data inválida" operator="between" prompt="Formato: dd/mm/aaaa" promptTitle="Nascimento" showDropDown="false" showErrorMessage="true" showInputMessage="true" sqref="D8" type="date">
      <formula1>DATE(1900,1,1)</formula1>
      <formula2>TODAY()</formula2>
    </dataValidation>
    <dataValidation allowBlank="true" error="O título de eleitor tem 12 dígitos (somente números)." errorStyle="stop" errorTitle="Título inválido" operator="between" prompt="12 dígitos, somente números." promptTitle="Título de eleitor" showDropDown="false" showErrorMessage="true" showInputMessage="true" sqref="D9" type="custom">
      <formula1>AND(LEN(D9)=12,ISNUMBER(--D9))</formula1>
      <formula2>0</formula2>
    </dataValidation>
    <dataValidation allowBlank="true" error="Informe rua e número." errorStyle="stop" errorTitle="Endereço inválido" operator="greaterThanOrEqual" prompt="Logradouro, complemento e número." promptTitle="Rua" showDropDown="false" showErrorMessage="true" showInputMessage="true" sqref="D11" type="textLength">
      <formula1>5</formula1>
      <formula2>0</formula2>
    </dataValidation>
    <dataValidation allowBlank="true" error="Use o formato 00000-000." errorStyle="stop" errorTitle="CEP inválido" operator="between" prompt="Formato: 00000-000" promptTitle="CEP" showDropDown="false" showErrorMessage="true" showInputMessage="true" sqref="D13" type="custom">
      <formula1>AND(LEN(D13)=9,MID(D13,6,1)="-")</formula1>
      <formula2>0</formula2>
    </dataValidation>
    <dataValidation allowBlank="true" error="Use o formato (11) 3000-0000 ou (11) 90000-0000." errorStyle="stop" errorTitle="Telefone inválido" operator="between" prompt="Formato: (DD) 0000-0000 ou (DD) 90000-0000" promptTitle="Telefone" showDropDown="false" showErrorMessage="true" showInputMessage="true" sqref="D14" type="custom">
      <formula1>AND(LEFT(D14,1)="(",MID(D14,4,2)=") ",OR(LEN(D14)=14,LEN(D14)=15))</formula1>
      <formula2>0</formula2>
    </dataValidation>
    <dataValidation allowBlank="true" error="Use o formato (11) 3000-0000 ou (11) 90000-0000." errorStyle="stop" errorTitle="Telefone inválido" operator="between" prompt="Formato: (DD) 0000-0000 ou (DD) 90000-0000" promptTitle="Telefone" showDropDown="false" showErrorMessage="true" showInputMessage="true" sqref="D15" type="custom">
      <formula1>AND(LEFT(D15,1)="(",MID(D15,4,2)=") ",OR(LEN(D15)=14,LEN(D15)=15))</formula1>
      <formula2>0</formula2>
    </dataValidation>
    <dataValidation allowBlank="true" error="Informe um e-mail válido (nome@dominio.com)." errorStyle="stop" errorTitle="E-mail inválido" operator="between" prompt="Ex.: nome@dominio.com" promptTitle="E-mail" showDropDown="false" showErrorMessage="true" showInputMessage="true" sqref="D16" type="custom">
      <formula1>AND(ISNUMBER(FIND("@",D16)),ISNUMBER(FIND(".",D16,FIND("@",D16))))</formula1>
      <formula2>0</formula2>
    </dataValidation>
    <dataValidation allowBlank="true" error="Escolha SIM ou NÃO na lista." errorStyle="stop" errorTitle="Opção inválida" operator="between" prompt="Selecione SIM ou NÃO." promptTitle="Escolha" showDropDown="false" showErrorMessage="true" showInputMessage="true" sqref="D17:D19" type="list">
      <formula1>Lista_SimNao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/>
    </row>
    <row r="2" customFormat="false" ht="33.75" hidden="false" customHeight="true" outlineLevel="0" collapsed="false">
      <c r="A2" s="2" t="s">
        <v>0</v>
      </c>
      <c r="C2" s="3" t="s">
        <v>33</v>
      </c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2</v>
      </c>
      <c r="C3" s="6" t="s">
        <v>34</v>
      </c>
      <c r="D3" s="7"/>
      <c r="E3" s="7"/>
      <c r="F3" s="7"/>
      <c r="G3" s="7"/>
      <c r="H3" s="7"/>
    </row>
    <row r="4" customFormat="false" ht="15" hidden="false" customHeight="false" outlineLevel="0" collapsed="false">
      <c r="A4" s="1"/>
      <c r="C4" s="8" t="s">
        <v>4</v>
      </c>
    </row>
    <row r="5" customFormat="false" ht="15" hidden="false" customHeight="false" outlineLevel="0" collapsed="false">
      <c r="A5" s="1"/>
    </row>
    <row r="6" customFormat="false" ht="30" hidden="false" customHeight="true" outlineLevel="0" collapsed="false">
      <c r="A6" s="13" t="str">
        <f aca="false">HYPERLINK("#'TITULAR'!A1","TITULAR")</f>
        <v>TITULAR</v>
      </c>
      <c r="C6" s="24" t="s">
        <v>35</v>
      </c>
      <c r="D6" s="24" t="s">
        <v>36</v>
      </c>
      <c r="E6" s="24" t="s">
        <v>37</v>
      </c>
      <c r="F6" s="24" t="s">
        <v>38</v>
      </c>
      <c r="G6" s="24" t="s">
        <v>39</v>
      </c>
      <c r="H6" s="24" t="s">
        <v>40</v>
      </c>
    </row>
    <row r="7" customFormat="false" ht="19.5" hidden="false" customHeight="true" outlineLevel="0" collapsed="false">
      <c r="A7" s="1"/>
      <c r="C7" s="12" t="s">
        <v>41</v>
      </c>
      <c r="D7" s="12" t="s">
        <v>42</v>
      </c>
      <c r="E7" s="12" t="s">
        <v>43</v>
      </c>
      <c r="F7" s="25" t="n">
        <v>84000</v>
      </c>
      <c r="G7" s="25" t="n">
        <v>6120.5</v>
      </c>
      <c r="H7" s="26" t="s">
        <v>44</v>
      </c>
    </row>
    <row r="8" customFormat="false" ht="19.5" hidden="false" customHeight="true" outlineLevel="0" collapsed="false">
      <c r="A8" s="11" t="str">
        <f aca="false">HYPERLINK("#'INFORMES'!A1","INFORMES")</f>
        <v>INFORMES</v>
      </c>
      <c r="C8" s="12" t="s">
        <v>45</v>
      </c>
      <c r="D8" s="12" t="s">
        <v>46</v>
      </c>
      <c r="E8" s="12" t="s">
        <v>47</v>
      </c>
      <c r="F8" s="25" t="n">
        <v>3200</v>
      </c>
      <c r="G8" s="25" t="n">
        <v>480</v>
      </c>
      <c r="H8" s="26" t="s">
        <v>48</v>
      </c>
    </row>
    <row r="9" customFormat="false" ht="19.5" hidden="false" customHeight="true" outlineLevel="0" collapsed="false">
      <c r="A9" s="1"/>
      <c r="C9" s="12" t="s">
        <v>49</v>
      </c>
      <c r="D9" s="12" t="s">
        <v>50</v>
      </c>
      <c r="E9" s="12" t="s">
        <v>51</v>
      </c>
      <c r="F9" s="25" t="n">
        <v>18000</v>
      </c>
      <c r="G9" s="25" t="n">
        <v>0</v>
      </c>
      <c r="H9" s="26" t="s">
        <v>44</v>
      </c>
    </row>
    <row r="10" customFormat="false" ht="19.5" hidden="false" customHeight="true" outlineLevel="0" collapsed="false">
      <c r="A10" s="13" t="str">
        <f aca="false">HYPERLINK("#'NOTAS'!A1","NOTAS")</f>
        <v>NOTAS</v>
      </c>
      <c r="C10" s="12"/>
      <c r="D10" s="12"/>
      <c r="E10" s="12"/>
      <c r="F10" s="25"/>
      <c r="G10" s="25"/>
      <c r="H10" s="26"/>
    </row>
    <row r="11" customFormat="false" ht="19.5" hidden="false" customHeight="true" outlineLevel="0" collapsed="false">
      <c r="A11" s="1"/>
      <c r="C11" s="12"/>
      <c r="D11" s="12"/>
      <c r="E11" s="12"/>
      <c r="F11" s="25"/>
      <c r="G11" s="25"/>
      <c r="H11" s="26"/>
    </row>
    <row r="12" customFormat="false" ht="19.5" hidden="false" customHeight="true" outlineLevel="0" collapsed="false">
      <c r="A12" s="1"/>
      <c r="C12" s="12"/>
      <c r="D12" s="12"/>
      <c r="E12" s="12"/>
      <c r="F12" s="25"/>
      <c r="G12" s="25"/>
      <c r="H12" s="26"/>
    </row>
    <row r="13" customFormat="false" ht="19.5" hidden="false" customHeight="true" outlineLevel="0" collapsed="false">
      <c r="A13" s="17"/>
      <c r="C13" s="12"/>
      <c r="D13" s="12"/>
      <c r="E13" s="12"/>
      <c r="F13" s="25"/>
      <c r="G13" s="25"/>
      <c r="H13" s="26"/>
    </row>
    <row r="14" customFormat="false" ht="19.5" hidden="false" customHeight="true" outlineLevel="0" collapsed="false">
      <c r="A14" s="18" t="str">
        <f aca="false">"Ano-calendário "&amp;Ano_Calendario</f>
        <v>Ano-calendário 2025</v>
      </c>
      <c r="C14" s="12"/>
      <c r="D14" s="12"/>
      <c r="E14" s="12"/>
      <c r="F14" s="25"/>
      <c r="G14" s="25"/>
      <c r="H14" s="26"/>
    </row>
    <row r="15" customFormat="false" ht="19.5" hidden="false" customHeight="true" outlineLevel="0" collapsed="false">
      <c r="A15" s="1"/>
      <c r="C15" s="12"/>
      <c r="D15" s="12"/>
      <c r="E15" s="12"/>
      <c r="F15" s="25"/>
      <c r="G15" s="25"/>
      <c r="H15" s="26"/>
    </row>
    <row r="16" customFormat="false" ht="19.5" hidden="false" customHeight="true" outlineLevel="0" collapsed="false">
      <c r="A16" s="1"/>
      <c r="C16" s="12"/>
      <c r="D16" s="12"/>
      <c r="E16" s="12"/>
      <c r="F16" s="25"/>
      <c r="G16" s="25"/>
      <c r="H16" s="26"/>
    </row>
    <row r="17" customFormat="false" ht="19.5" hidden="false" customHeight="true" outlineLevel="0" collapsed="false">
      <c r="A17" s="1"/>
      <c r="C17" s="12"/>
      <c r="D17" s="12"/>
      <c r="E17" s="12"/>
      <c r="F17" s="25"/>
      <c r="G17" s="25"/>
      <c r="H17" s="26"/>
    </row>
    <row r="18" customFormat="false" ht="19.5" hidden="false" customHeight="true" outlineLevel="0" collapsed="false">
      <c r="A18" s="1"/>
      <c r="C18" s="12"/>
      <c r="D18" s="12"/>
      <c r="E18" s="12"/>
      <c r="F18" s="25"/>
      <c r="G18" s="25"/>
      <c r="H18" s="26"/>
    </row>
    <row r="19" customFormat="false" ht="19.5" hidden="false" customHeight="true" outlineLevel="0" collapsed="false">
      <c r="A19" s="1"/>
      <c r="C19" s="12"/>
      <c r="D19" s="12"/>
      <c r="E19" s="12"/>
      <c r="F19" s="25"/>
      <c r="G19" s="25"/>
      <c r="H19" s="26"/>
    </row>
    <row r="20" customFormat="false" ht="19.5" hidden="false" customHeight="true" outlineLevel="0" collapsed="false">
      <c r="A20" s="1"/>
      <c r="C20" s="12"/>
      <c r="D20" s="12"/>
      <c r="E20" s="12"/>
      <c r="F20" s="25"/>
      <c r="G20" s="25"/>
      <c r="H20" s="26"/>
    </row>
    <row r="21" customFormat="false" ht="19.5" hidden="false" customHeight="true" outlineLevel="0" collapsed="false">
      <c r="A21" s="1"/>
      <c r="C21" s="12"/>
      <c r="D21" s="12"/>
      <c r="E21" s="12"/>
      <c r="F21" s="25"/>
      <c r="G21" s="25"/>
      <c r="H21" s="26"/>
    </row>
    <row r="22" customFormat="false" ht="15" hidden="false" customHeight="false" outlineLevel="0" collapsed="false">
      <c r="A22" s="1"/>
      <c r="C22" s="27" t="s">
        <v>52</v>
      </c>
      <c r="D22" s="28"/>
      <c r="E22" s="28"/>
      <c r="F22" s="29" t="n">
        <f aca="false">SUM(F7:F21)</f>
        <v>105200</v>
      </c>
      <c r="G22" s="29" t="n">
        <f aca="false">SUM(G7:G21)</f>
        <v>6600.5</v>
      </c>
      <c r="H22" s="28"/>
    </row>
    <row r="23" customFormat="false" ht="15" hidden="false" customHeight="false" outlineLevel="0" collapsed="false">
      <c r="A23" s="1"/>
    </row>
    <row r="24" customFormat="false" ht="15" hidden="false" customHeight="false" outlineLevel="0" collapsed="false">
      <c r="A24" s="1"/>
      <c r="C24" s="30" t="s">
        <v>53</v>
      </c>
    </row>
    <row r="25" customFormat="false" ht="30" hidden="false" customHeight="true" outlineLevel="0" collapsed="false">
      <c r="A25" s="1"/>
      <c r="C25" s="24" t="s">
        <v>54</v>
      </c>
      <c r="D25" s="24" t="s">
        <v>55</v>
      </c>
      <c r="E25" s="24" t="s">
        <v>39</v>
      </c>
    </row>
    <row r="26" customFormat="false" ht="15" hidden="false" customHeight="false" outlineLevel="0" collapsed="false">
      <c r="A26" s="1"/>
      <c r="C26" s="31" t="str">
        <f aca="false">Listas!$B$2</f>
        <v>Salário</v>
      </c>
      <c r="D26" s="32" t="n">
        <f aca="false">SUMIF($E$7:$E$21,$C26,$F$7:$F$21)</f>
        <v>84000</v>
      </c>
      <c r="E26" s="32" t="n">
        <f aca="false">SUMIF($E$7:$E$21,$C26,$G$7:$G$21)</f>
        <v>6120.5</v>
      </c>
    </row>
    <row r="27" customFormat="false" ht="15" hidden="false" customHeight="false" outlineLevel="0" collapsed="false">
      <c r="A27" s="1"/>
      <c r="C27" s="31" t="str">
        <f aca="false">Listas!$B$3</f>
        <v>Aluguel</v>
      </c>
      <c r="D27" s="32" t="n">
        <f aca="false">SUMIF($E$7:$E$21,$C27,$F$7:$F$21)</f>
        <v>18000</v>
      </c>
      <c r="E27" s="32" t="n">
        <f aca="false">SUMIF($E$7:$E$21,$C27,$G$7:$G$21)</f>
        <v>0</v>
      </c>
    </row>
    <row r="28" customFormat="false" ht="15" hidden="false" customHeight="false" outlineLevel="0" collapsed="false">
      <c r="A28" s="1"/>
      <c r="C28" s="31" t="str">
        <f aca="false">Listas!$B$4</f>
        <v>Pró-labore</v>
      </c>
      <c r="D28" s="32" t="n">
        <f aca="false">SUMIF($E$7:$E$21,$C28,$F$7:$F$21)</f>
        <v>0</v>
      </c>
      <c r="E28" s="32" t="n">
        <f aca="false">SUMIF($E$7:$E$21,$C28,$G$7:$G$21)</f>
        <v>0</v>
      </c>
    </row>
    <row r="29" customFormat="false" ht="15" hidden="false" customHeight="false" outlineLevel="0" collapsed="false">
      <c r="A29" s="1"/>
      <c r="C29" s="31" t="str">
        <f aca="false">Listas!$B$5</f>
        <v>Aplicações financeiras</v>
      </c>
      <c r="D29" s="32" t="n">
        <f aca="false">SUMIF($E$7:$E$21,$C29,$F$7:$F$21)</f>
        <v>3200</v>
      </c>
      <c r="E29" s="32" t="n">
        <f aca="false">SUMIF($E$7:$E$21,$C29,$G$7:$G$21)</f>
        <v>480</v>
      </c>
    </row>
    <row r="30" customFormat="false" ht="15" hidden="false" customHeight="false" outlineLevel="0" collapsed="false">
      <c r="A30" s="1"/>
      <c r="C30" s="31" t="str">
        <f aca="false">Listas!$B$6</f>
        <v>Dividendos</v>
      </c>
      <c r="D30" s="32" t="n">
        <f aca="false">SUMIF($E$7:$E$21,$C30,$F$7:$F$21)</f>
        <v>0</v>
      </c>
      <c r="E30" s="32" t="n">
        <f aca="false">SUMIF($E$7:$E$21,$C30,$G$7:$G$21)</f>
        <v>0</v>
      </c>
    </row>
    <row r="31" customFormat="false" ht="15" hidden="false" customHeight="false" outlineLevel="0" collapsed="false">
      <c r="A31" s="1"/>
      <c r="C31" s="31" t="str">
        <f aca="false">Listas!$B$7</f>
        <v>Outros</v>
      </c>
      <c r="D31" s="32" t="n">
        <f aca="false">SUMIF($E$7:$E$21,$C31,$F$7:$F$21)</f>
        <v>0</v>
      </c>
      <c r="E31" s="32" t="n">
        <f aca="false">SUMIF($E$7:$E$21,$C31,$G$7:$G$21)</f>
        <v>0</v>
      </c>
    </row>
    <row r="32" customFormat="false" ht="15" hidden="false" customHeight="false" outlineLevel="0" collapsed="false">
      <c r="A32" s="1"/>
      <c r="C32" s="27" t="s">
        <v>52</v>
      </c>
      <c r="D32" s="29" t="n">
        <f aca="false">SUM(D26:D31)</f>
        <v>105200</v>
      </c>
      <c r="E32" s="29" t="n">
        <f aca="false">SUM(E26:E31)</f>
        <v>6600.5</v>
      </c>
      <c r="F32" s="19" t="str">
        <f aca="false">IF(D32=F22,"","Atenção: há rendimento sem tipo informado")</f>
        <v/>
      </c>
    </row>
    <row r="33" customFormat="false" ht="15" hidden="false" customHeight="false" outlineLevel="0" collapsed="false">
      <c r="A33" s="1"/>
    </row>
    <row r="34" customFormat="false" ht="27.75" hidden="false" customHeight="true" outlineLevel="0" collapsed="false">
      <c r="A34" s="1"/>
      <c r="C34" s="23" t="str">
        <f aca="false">HYPERLINK("#'TITULAR'!A1","← VOLTAR")</f>
        <v>← VOLTAR</v>
      </c>
      <c r="E34" s="23" t="str">
        <f aca="false">HYPERLINK("#'NOTAS'!A1","PRÓXIMO →")</f>
        <v>PRÓXIMO →</v>
      </c>
    </row>
    <row r="35" customFormat="false" ht="15" hidden="false" customHeight="false" outlineLevel="0" collapsed="false">
      <c r="A35" s="1"/>
    </row>
    <row r="36" customFormat="false" ht="15" hidden="false" customHeight="false" outlineLevel="0" collapsed="false">
      <c r="A36" s="1"/>
    </row>
    <row r="37" customFormat="false" ht="15" hidden="false" customHeight="false" outlineLevel="0" collapsed="false">
      <c r="A37" s="1"/>
    </row>
    <row r="38" customFormat="false" ht="15" hidden="false" customHeight="false" outlineLevel="0" collapsed="false">
      <c r="A38" s="1"/>
    </row>
    <row r="39" customFormat="false" ht="15" hidden="false" customHeight="false" outlineLevel="0" collapsed="false">
      <c r="A39" s="1"/>
    </row>
    <row r="40" customFormat="false" ht="15" hidden="false" customHeight="false" outlineLevel="0" collapsed="false">
      <c r="A40" s="1"/>
    </row>
    <row r="41" customFormat="false" ht="15" hidden="false" customHeight="false" outlineLevel="0" collapsed="false">
      <c r="A41" s="1"/>
    </row>
    <row r="42" customFormat="false" ht="15" hidden="false" customHeight="false" outlineLevel="0" collapsed="false">
      <c r="A42" s="1"/>
    </row>
    <row r="43" customFormat="false" ht="15" hidden="false" customHeight="false" outlineLevel="0" collapsed="false">
      <c r="A43" s="1"/>
    </row>
    <row r="44" customFormat="false" ht="15" hidden="false" customHeight="false" outlineLevel="0" collapsed="false">
      <c r="A44" s="1"/>
    </row>
    <row r="45" customFormat="false" ht="15" hidden="false" customHeight="false" outlineLevel="0" collapsed="false">
      <c r="A45" s="1"/>
    </row>
  </sheetData>
  <conditionalFormatting sqref="H7:H21">
    <cfRule type="cellIs" priority="2" operator="equal" aboveAverage="0" equalAverage="0" bottom="0" percent="0" rank="0" text="" dxfId="2">
      <formula>"Pendente"</formula>
    </cfRule>
    <cfRule type="cellIs" priority="3" operator="equal" aboveAverage="0" equalAverage="0" bottom="0" percent="0" rank="0" text="" dxfId="3">
      <formula>"Recebido"</formula>
    </cfRule>
  </conditionalFormatting>
  <dataValidations count="5">
    <dataValidation allowBlank="true" error="CNPJ: 00.000.000/0000-00 | CPF: 000.000.000-00." errorStyle="stop" errorTitle="Documento inválido" operator="between" prompt="CNPJ (18 caracteres) ou CPF (14), com pontuação." promptTitle="CNPJ / CPF" showDropDown="false" showErrorMessage="true" showInputMessage="true" sqref="D7:D21" type="custom">
      <formula1>OR(LEN(D7)=18,LEN(D7)=14)</formula1>
      <formula2>0</formula2>
    </dataValidation>
    <dataValidation allowBlank="true" error="Escolha um tipo da lista." errorStyle="stop" errorTitle="Tipo inválido" operator="between" prompt="Selecione o tipo de rendimento." promptTitle="Tipo" showDropDown="false" showErrorMessage="true" showInputMessage="true" sqref="E7:E21" type="list">
      <formula1>Lista_TipoRend</formula1>
      <formula2>0</formula2>
    </dataValidation>
    <dataValidation allowBlank="true" error="Informe um valor numérico maior ou igual a zero." errorStyle="stop" errorTitle="Valor inválido" operator="greaterThanOrEqual" prompt="Valor anual em R$." promptTitle="Rendimento" showDropDown="false" showErrorMessage="true" showInputMessage="true" sqref="F7:F21" type="decimal">
      <formula1>0</formula1>
      <formula2>0</formula2>
    </dataValidation>
    <dataValidation allowBlank="true" error="O IR retido deve ser um número entre 0 e o rendimento informado." errorStyle="stop" errorTitle="Valor inválido" operator="between" prompt="Imposto retido na fonte, em R$." promptTitle="IR retido" showDropDown="false" showErrorMessage="true" showInputMessage="true" sqref="G7:G21" type="custom">
      <formula1>AND(ISNUMBER(G7),G7&gt;=0,OR(F7="",G7&lt;=F7))</formula1>
      <formula2>0</formula2>
    </dataValidation>
    <dataValidation allowBlank="true" error="Escolha Recebido ou Pendente." errorStyle="stop" errorTitle="Opção inválida" operator="between" prompt="O informe já chegou?" promptTitle="Comprovante" showDropDown="false" showErrorMessage="true" showInputMessage="true" sqref="H7:H21" type="list">
      <formula1>Lista_Status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/>
    </row>
    <row r="2" customFormat="false" ht="33.75" hidden="false" customHeight="true" outlineLevel="0" collapsed="false">
      <c r="A2" s="2" t="s">
        <v>0</v>
      </c>
      <c r="C2" s="3" t="s">
        <v>56</v>
      </c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2</v>
      </c>
      <c r="C3" s="6" t="s">
        <v>57</v>
      </c>
      <c r="D3" s="7"/>
      <c r="E3" s="7"/>
      <c r="F3" s="7"/>
      <c r="G3" s="7"/>
      <c r="H3" s="7"/>
    </row>
    <row r="4" customFormat="false" ht="15" hidden="false" customHeight="false" outlineLevel="0" collapsed="false">
      <c r="A4" s="1"/>
      <c r="C4" s="8" t="s">
        <v>4</v>
      </c>
    </row>
    <row r="5" customFormat="false" ht="15" hidden="false" customHeight="false" outlineLevel="0" collapsed="false">
      <c r="A5" s="1"/>
    </row>
    <row r="6" customFormat="false" ht="30" hidden="false" customHeight="true" outlineLevel="0" collapsed="false">
      <c r="A6" s="13" t="str">
        <f aca="false">HYPERLINK("#'TITULAR'!A1","TITULAR")</f>
        <v>TITULAR</v>
      </c>
      <c r="C6" s="24" t="s">
        <v>58</v>
      </c>
      <c r="D6" s="24" t="s">
        <v>59</v>
      </c>
      <c r="E6" s="24" t="s">
        <v>60</v>
      </c>
      <c r="F6" s="24" t="s">
        <v>61</v>
      </c>
      <c r="G6" s="24" t="s">
        <v>62</v>
      </c>
      <c r="H6" s="24" t="s">
        <v>40</v>
      </c>
    </row>
    <row r="7" customFormat="false" ht="19.5" hidden="false" customHeight="true" outlineLevel="0" collapsed="false">
      <c r="A7" s="1"/>
      <c r="C7" s="33" t="n">
        <v>45728</v>
      </c>
      <c r="D7" s="12" t="s">
        <v>63</v>
      </c>
      <c r="E7" s="12" t="s">
        <v>64</v>
      </c>
      <c r="F7" s="25" t="n">
        <v>350</v>
      </c>
      <c r="G7" s="12" t="s">
        <v>65</v>
      </c>
      <c r="H7" s="26" t="s">
        <v>44</v>
      </c>
    </row>
    <row r="8" customFormat="false" ht="19.5" hidden="false" customHeight="true" outlineLevel="0" collapsed="false">
      <c r="A8" s="13" t="str">
        <f aca="false">HYPERLINK("#'INFORMES'!A1","INFORMES")</f>
        <v>INFORMES</v>
      </c>
      <c r="C8" s="33" t="n">
        <v>45693</v>
      </c>
      <c r="D8" s="12" t="s">
        <v>66</v>
      </c>
      <c r="E8" s="12" t="s">
        <v>67</v>
      </c>
      <c r="F8" s="25" t="n">
        <v>1200</v>
      </c>
      <c r="G8" s="12" t="s">
        <v>68</v>
      </c>
      <c r="H8" s="26" t="s">
        <v>44</v>
      </c>
    </row>
    <row r="9" customFormat="false" ht="19.5" hidden="false" customHeight="true" outlineLevel="0" collapsed="false">
      <c r="A9" s="1"/>
      <c r="C9" s="33" t="n">
        <v>45858</v>
      </c>
      <c r="D9" s="12" t="s">
        <v>69</v>
      </c>
      <c r="E9" s="12" t="s">
        <v>70</v>
      </c>
      <c r="F9" s="25" t="n">
        <v>2400</v>
      </c>
      <c r="G9" s="12" t="s">
        <v>71</v>
      </c>
      <c r="H9" s="26" t="s">
        <v>48</v>
      </c>
    </row>
    <row r="10" customFormat="false" ht="19.5" hidden="false" customHeight="true" outlineLevel="0" collapsed="false">
      <c r="A10" s="11" t="str">
        <f aca="false">HYPERLINK("#'NOTAS'!A1","NOTAS")</f>
        <v>NOTAS</v>
      </c>
      <c r="C10" s="33"/>
      <c r="D10" s="12"/>
      <c r="E10" s="12"/>
      <c r="F10" s="25"/>
      <c r="G10" s="12"/>
      <c r="H10" s="26"/>
    </row>
    <row r="11" customFormat="false" ht="19.5" hidden="false" customHeight="true" outlineLevel="0" collapsed="false">
      <c r="A11" s="1"/>
      <c r="C11" s="33"/>
      <c r="D11" s="12"/>
      <c r="E11" s="12"/>
      <c r="F11" s="25"/>
      <c r="G11" s="12"/>
      <c r="H11" s="26"/>
    </row>
    <row r="12" customFormat="false" ht="19.5" hidden="false" customHeight="true" outlineLevel="0" collapsed="false">
      <c r="A12" s="1"/>
      <c r="C12" s="33"/>
      <c r="D12" s="12"/>
      <c r="E12" s="12"/>
      <c r="F12" s="25"/>
      <c r="G12" s="12"/>
      <c r="H12" s="26"/>
    </row>
    <row r="13" customFormat="false" ht="19.5" hidden="false" customHeight="true" outlineLevel="0" collapsed="false">
      <c r="A13" s="17"/>
      <c r="C13" s="33"/>
      <c r="D13" s="12"/>
      <c r="E13" s="12"/>
      <c r="F13" s="25"/>
      <c r="G13" s="12"/>
      <c r="H13" s="26"/>
    </row>
    <row r="14" customFormat="false" ht="19.5" hidden="false" customHeight="true" outlineLevel="0" collapsed="false">
      <c r="A14" s="18" t="str">
        <f aca="false">"Ano-calendário "&amp;Ano_Calendario</f>
        <v>Ano-calendário 2025</v>
      </c>
      <c r="C14" s="33"/>
      <c r="D14" s="12"/>
      <c r="E14" s="12"/>
      <c r="F14" s="25"/>
      <c r="G14" s="12"/>
      <c r="H14" s="26"/>
    </row>
    <row r="15" customFormat="false" ht="19.5" hidden="false" customHeight="true" outlineLevel="0" collapsed="false">
      <c r="A15" s="1"/>
      <c r="C15" s="33"/>
      <c r="D15" s="12"/>
      <c r="E15" s="12"/>
      <c r="F15" s="25"/>
      <c r="G15" s="12"/>
      <c r="H15" s="26"/>
    </row>
    <row r="16" customFormat="false" ht="19.5" hidden="false" customHeight="true" outlineLevel="0" collapsed="false">
      <c r="A16" s="1"/>
      <c r="C16" s="33"/>
      <c r="D16" s="12"/>
      <c r="E16" s="12"/>
      <c r="F16" s="25"/>
      <c r="G16" s="12"/>
      <c r="H16" s="26"/>
    </row>
    <row r="17" customFormat="false" ht="19.5" hidden="false" customHeight="true" outlineLevel="0" collapsed="false">
      <c r="A17" s="1"/>
      <c r="C17" s="33"/>
      <c r="D17" s="12"/>
      <c r="E17" s="12"/>
      <c r="F17" s="25"/>
      <c r="G17" s="12"/>
      <c r="H17" s="26"/>
    </row>
    <row r="18" customFormat="false" ht="19.5" hidden="false" customHeight="true" outlineLevel="0" collapsed="false">
      <c r="A18" s="1"/>
      <c r="C18" s="33"/>
      <c r="D18" s="12"/>
      <c r="E18" s="12"/>
      <c r="F18" s="25"/>
      <c r="G18" s="12"/>
      <c r="H18" s="26"/>
    </row>
    <row r="19" customFormat="false" ht="19.5" hidden="false" customHeight="true" outlineLevel="0" collapsed="false">
      <c r="A19" s="1"/>
      <c r="C19" s="33"/>
      <c r="D19" s="12"/>
      <c r="E19" s="12"/>
      <c r="F19" s="25"/>
      <c r="G19" s="12"/>
      <c r="H19" s="26"/>
    </row>
    <row r="20" customFormat="false" ht="19.5" hidden="false" customHeight="true" outlineLevel="0" collapsed="false">
      <c r="A20" s="1"/>
      <c r="C20" s="33"/>
      <c r="D20" s="12"/>
      <c r="E20" s="12"/>
      <c r="F20" s="25"/>
      <c r="G20" s="12"/>
      <c r="H20" s="26"/>
    </row>
    <row r="21" customFormat="false" ht="19.5" hidden="false" customHeight="true" outlineLevel="0" collapsed="false">
      <c r="A21" s="1"/>
      <c r="C21" s="33"/>
      <c r="D21" s="12"/>
      <c r="E21" s="12"/>
      <c r="F21" s="25"/>
      <c r="G21" s="12"/>
      <c r="H21" s="26"/>
    </row>
    <row r="22" customFormat="false" ht="19.5" hidden="false" customHeight="true" outlineLevel="0" collapsed="false">
      <c r="A22" s="1"/>
      <c r="C22" s="33"/>
      <c r="D22" s="12"/>
      <c r="E22" s="12"/>
      <c r="F22" s="25"/>
      <c r="G22" s="12"/>
      <c r="H22" s="26"/>
    </row>
    <row r="23" customFormat="false" ht="19.5" hidden="false" customHeight="true" outlineLevel="0" collapsed="false">
      <c r="A23" s="1"/>
      <c r="C23" s="33"/>
      <c r="D23" s="12"/>
      <c r="E23" s="12"/>
      <c r="F23" s="25"/>
      <c r="G23" s="12"/>
      <c r="H23" s="26"/>
    </row>
    <row r="24" customFormat="false" ht="19.5" hidden="false" customHeight="true" outlineLevel="0" collapsed="false">
      <c r="A24" s="1"/>
      <c r="C24" s="33"/>
      <c r="D24" s="12"/>
      <c r="E24" s="12"/>
      <c r="F24" s="25"/>
      <c r="G24" s="12"/>
      <c r="H24" s="26"/>
    </row>
    <row r="25" customFormat="false" ht="19.5" hidden="false" customHeight="true" outlineLevel="0" collapsed="false">
      <c r="A25" s="1"/>
      <c r="C25" s="33"/>
      <c r="D25" s="12"/>
      <c r="E25" s="12"/>
      <c r="F25" s="25"/>
      <c r="G25" s="12"/>
      <c r="H25" s="26"/>
    </row>
    <row r="26" customFormat="false" ht="19.5" hidden="false" customHeight="true" outlineLevel="0" collapsed="false">
      <c r="A26" s="1"/>
      <c r="C26" s="33"/>
      <c r="D26" s="12"/>
      <c r="E26" s="12"/>
      <c r="F26" s="25"/>
      <c r="G26" s="12"/>
      <c r="H26" s="26"/>
    </row>
    <row r="27" customFormat="false" ht="15" hidden="false" customHeight="false" outlineLevel="0" collapsed="false">
      <c r="A27" s="1"/>
      <c r="C27" s="28"/>
      <c r="D27" s="27" t="s">
        <v>52</v>
      </c>
      <c r="E27" s="28"/>
      <c r="F27" s="29" t="n">
        <f aca="false">SUM(F7:F26)</f>
        <v>3950</v>
      </c>
      <c r="G27" s="28"/>
      <c r="H27" s="28"/>
    </row>
    <row r="28" customFormat="false" ht="15" hidden="false" customHeight="false" outlineLevel="0" collapsed="false">
      <c r="A28" s="1"/>
      <c r="D28" s="30" t="s">
        <v>72</v>
      </c>
    </row>
    <row r="29" customFormat="false" ht="30" hidden="false" customHeight="true" outlineLevel="0" collapsed="false">
      <c r="A29" s="1"/>
      <c r="D29" s="24" t="s">
        <v>60</v>
      </c>
      <c r="E29" s="24" t="s">
        <v>73</v>
      </c>
      <c r="F29" s="24" t="s">
        <v>74</v>
      </c>
      <c r="G29" s="24" t="s">
        <v>75</v>
      </c>
    </row>
    <row r="30" customFormat="false" ht="15" hidden="false" customHeight="false" outlineLevel="0" collapsed="false">
      <c r="A30" s="1"/>
      <c r="D30" s="31" t="str">
        <f aca="false">Listas!$C$2</f>
        <v>Saúde</v>
      </c>
      <c r="E30" s="34" t="n">
        <f aca="false">COUNTIF($E$7:$E$26,$D30)</f>
        <v>1</v>
      </c>
      <c r="F30" s="32" t="n">
        <f aca="false">SUMIF($E$7:$E$26,$D30,$F$7:$F$26)</f>
        <v>350</v>
      </c>
      <c r="G30" s="35" t="n">
        <f aca="false">IF($F$35=0,0,F30/$F$35)</f>
        <v>0.0886075949367089</v>
      </c>
    </row>
    <row r="31" customFormat="false" ht="15" hidden="false" customHeight="false" outlineLevel="0" collapsed="false">
      <c r="A31" s="1"/>
      <c r="D31" s="31" t="str">
        <f aca="false">Listas!$C$3</f>
        <v>Educação</v>
      </c>
      <c r="E31" s="34" t="n">
        <f aca="false">COUNTIF($E$7:$E$26,$D31)</f>
        <v>1</v>
      </c>
      <c r="F31" s="32" t="n">
        <f aca="false">SUMIF($E$7:$E$26,$D31,$F$7:$F$26)</f>
        <v>1200</v>
      </c>
      <c r="G31" s="35" t="n">
        <f aca="false">IF($F$35=0,0,F31/$F$35)</f>
        <v>0.30379746835443</v>
      </c>
    </row>
    <row r="32" customFormat="false" ht="15" hidden="false" customHeight="false" outlineLevel="0" collapsed="false">
      <c r="A32" s="1"/>
      <c r="D32" s="31" t="str">
        <f aca="false">Listas!$C$4</f>
        <v>Previdência privada (PGBL)</v>
      </c>
      <c r="E32" s="34" t="n">
        <f aca="false">COUNTIF($E$7:$E$26,$D32)</f>
        <v>1</v>
      </c>
      <c r="F32" s="32" t="n">
        <f aca="false">SUMIF($E$7:$E$26,$D32,$F$7:$F$26)</f>
        <v>2400</v>
      </c>
      <c r="G32" s="35" t="n">
        <f aca="false">IF($F$35=0,0,F32/$F$35)</f>
        <v>0.607594936708861</v>
      </c>
    </row>
    <row r="33" customFormat="false" ht="15" hidden="false" customHeight="false" outlineLevel="0" collapsed="false">
      <c r="A33" s="1"/>
      <c r="D33" s="31" t="str">
        <f aca="false">Listas!$C$5</f>
        <v>Pensão alimentícia</v>
      </c>
      <c r="E33" s="34" t="n">
        <f aca="false">COUNTIF($E$7:$E$26,$D33)</f>
        <v>0</v>
      </c>
      <c r="F33" s="32" t="n">
        <f aca="false">SUMIF($E$7:$E$26,$D33,$F$7:$F$26)</f>
        <v>0</v>
      </c>
      <c r="G33" s="35" t="n">
        <f aca="false">IF($F$35=0,0,F33/$F$35)</f>
        <v>0</v>
      </c>
    </row>
    <row r="34" customFormat="false" ht="15" hidden="false" customHeight="false" outlineLevel="0" collapsed="false">
      <c r="A34" s="1"/>
      <c r="D34" s="31" t="str">
        <f aca="false">Listas!$C$6</f>
        <v>Outras</v>
      </c>
      <c r="E34" s="34" t="n">
        <f aca="false">COUNTIF($E$7:$E$26,$D34)</f>
        <v>0</v>
      </c>
      <c r="F34" s="32" t="n">
        <f aca="false">SUMIF($E$7:$E$26,$D34,$F$7:$F$26)</f>
        <v>0</v>
      </c>
      <c r="G34" s="35" t="n">
        <f aca="false">IF($F$35=0,0,F34/$F$35)</f>
        <v>0</v>
      </c>
    </row>
    <row r="35" customFormat="false" ht="15" hidden="false" customHeight="false" outlineLevel="0" collapsed="false">
      <c r="A35" s="1"/>
      <c r="D35" s="27" t="s">
        <v>52</v>
      </c>
      <c r="E35" s="36" t="n">
        <f aca="false">SUM(E30:E34)</f>
        <v>3</v>
      </c>
      <c r="F35" s="29" t="n">
        <f aca="false">SUM(F30:F34)</f>
        <v>3950</v>
      </c>
      <c r="G35" s="37" t="n">
        <f aca="false">SUM(G30:G34)</f>
        <v>1</v>
      </c>
      <c r="H35" s="19" t="str">
        <f aca="false">IF(ROUND(F35-F27,2)=0,"","Atenção: há despesa sem categoria")</f>
        <v/>
      </c>
    </row>
    <row r="36" customFormat="false" ht="15" hidden="false" customHeight="false" outlineLevel="0" collapsed="false">
      <c r="A36" s="1"/>
    </row>
    <row r="37" customFormat="false" ht="15" hidden="false" customHeight="false" outlineLevel="0" collapsed="false">
      <c r="A37" s="1"/>
      <c r="D37" s="38" t="s">
        <v>76</v>
      </c>
      <c r="F37" s="25" t="n">
        <v>3561.5</v>
      </c>
    </row>
    <row r="38" customFormat="false" ht="15" hidden="false" customHeight="false" outlineLevel="0" collapsed="false">
      <c r="A38" s="1"/>
      <c r="D38" s="38" t="s">
        <v>77</v>
      </c>
      <c r="F38" s="39" t="n">
        <f aca="false">MIN(F31,Limite_Educacao)</f>
        <v>1200</v>
      </c>
    </row>
    <row r="39" customFormat="false" ht="15" hidden="false" customHeight="false" outlineLevel="0" collapsed="false">
      <c r="A39" s="1"/>
      <c r="D39" s="8" t="s">
        <v>78</v>
      </c>
    </row>
    <row r="40" customFormat="false" ht="15" hidden="false" customHeight="false" outlineLevel="0" collapsed="false">
      <c r="A40" s="1"/>
    </row>
    <row r="41" customFormat="false" ht="27.75" hidden="false" customHeight="true" outlineLevel="0" collapsed="false">
      <c r="A41" s="1"/>
      <c r="C41" s="23" t="str">
        <f aca="false">HYPERLINK("#'INFORMES'!A1","← VOLTAR")</f>
        <v>← VOLTAR</v>
      </c>
      <c r="D41" s="23" t="str">
        <f aca="false">HYPERLINK("#'TITULAR'!A1","VOLTAR AO INÍCIO")</f>
        <v>VOLTAR AO INÍCIO</v>
      </c>
    </row>
    <row r="42" customFormat="false" ht="15" hidden="false" customHeight="false" outlineLevel="0" collapsed="false">
      <c r="A42" s="1"/>
    </row>
    <row r="43" customFormat="false" ht="15" hidden="false" customHeight="false" outlineLevel="0" collapsed="false">
      <c r="A43" s="1"/>
    </row>
    <row r="44" customFormat="false" ht="15" hidden="false" customHeight="false" outlineLevel="0" collapsed="false">
      <c r="A44" s="1"/>
    </row>
    <row r="45" customFormat="false" ht="15" hidden="false" customHeight="false" outlineLevel="0" collapsed="false">
      <c r="A45" s="1"/>
    </row>
  </sheetData>
  <conditionalFormatting sqref="H7:H26">
    <cfRule type="cellIs" priority="2" operator="equal" aboveAverage="0" equalAverage="0" bottom="0" percent="0" rank="0" text="" dxfId="2">
      <formula>"Pendente"</formula>
    </cfRule>
    <cfRule type="cellIs" priority="3" operator="equal" aboveAverage="0" equalAverage="0" bottom="0" percent="0" rank="0" text="" dxfId="3">
      <formula>"Recebido"</formula>
    </cfRule>
  </conditionalFormatting>
  <dataValidations count="5">
    <dataValidation allowBlank="true" error="A data deve estar dentro do ano-calendário informado na aba TITULAR." errorStyle="stop" errorTitle="Data fora do ano-calendário" operator="between" prompt="dd/mm/aaaa, dentro do ano-calendário." promptTitle="Data" showDropDown="false" showErrorMessage="true" showInputMessage="true" sqref="C7:C26" type="date">
      <formula1>DATE(Ano_Calendario,1,1)</formula1>
      <formula2>DATE(Ano_Calendario,12,31)</formula2>
    </dataValidation>
    <dataValidation allowBlank="true" error="Descreva a despesa (mínimo 3 caracteres)." errorStyle="stop" errorTitle="Descrição curta" operator="greaterThanOrEqual" prompt="O que foi pago e a quem." promptTitle="Descrição" showDropDown="false" showErrorMessage="true" showInputMessage="true" sqref="D7:D26" type="textLength">
      <formula1>3</formula1>
      <formula2>0</formula2>
    </dataValidation>
    <dataValidation allowBlank="true" error="Escolha uma categoria da lista." errorStyle="stop" errorTitle="Categoria inválida" operator="between" prompt="Selecione a categoria da despesa." promptTitle="Categoria" showDropDown="false" showErrorMessage="true" showInputMessage="true" sqref="E7:E26" type="list">
      <formula1>Lista_CategDesp</formula1>
      <formula2>0</formula2>
    </dataValidation>
    <dataValidation allowBlank="true" error="Informe um valor maior que zero." errorStyle="stop" errorTitle="Valor inválido" operator="greaterThan" prompt="Valor pago, em R$." promptTitle="Valor" showDropDown="false" showErrorMessage="true" showInputMessage="true" sqref="F7:F26" type="decimal">
      <formula1>0</formula1>
      <formula2>0</formula2>
    </dataValidation>
    <dataValidation allowBlank="true" error="Escolha Recebido ou Pendente." errorStyle="stop" errorTitle="Opção inválida" operator="between" prompt="Você já tem o comprovante?" promptTitle="Comprovante" showDropDown="false" showErrorMessage="true" showInputMessage="true" sqref="H7:H26" type="list">
      <formula1>Lista_Status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15" hidden="false" customHeight="false" outlineLevel="0" collapsed="false">
      <c r="A1" s="40" t="s">
        <v>79</v>
      </c>
      <c r="B1" s="40" t="s">
        <v>37</v>
      </c>
      <c r="C1" s="40" t="s">
        <v>80</v>
      </c>
      <c r="D1" s="40" t="s">
        <v>40</v>
      </c>
    </row>
    <row r="2" customFormat="false" ht="15" hidden="false" customHeight="false" outlineLevel="0" collapsed="false">
      <c r="A2" s="41" t="s">
        <v>27</v>
      </c>
      <c r="B2" s="41" t="s">
        <v>43</v>
      </c>
      <c r="C2" s="41" t="s">
        <v>64</v>
      </c>
      <c r="D2" s="41" t="s">
        <v>44</v>
      </c>
    </row>
    <row r="3" customFormat="false" ht="15" hidden="false" customHeight="false" outlineLevel="0" collapsed="false">
      <c r="A3" s="41" t="s">
        <v>29</v>
      </c>
      <c r="B3" s="41" t="s">
        <v>51</v>
      </c>
      <c r="C3" s="41" t="s">
        <v>67</v>
      </c>
      <c r="D3" s="41" t="s">
        <v>48</v>
      </c>
    </row>
    <row r="4" customFormat="false" ht="15" hidden="false" customHeight="false" outlineLevel="0" collapsed="false">
      <c r="B4" s="41" t="s">
        <v>81</v>
      </c>
      <c r="C4" s="41" t="s">
        <v>70</v>
      </c>
    </row>
    <row r="5" customFormat="false" ht="15" hidden="false" customHeight="false" outlineLevel="0" collapsed="false">
      <c r="B5" s="41" t="s">
        <v>47</v>
      </c>
      <c r="C5" s="41" t="s">
        <v>82</v>
      </c>
    </row>
    <row r="6" customFormat="false" ht="15" hidden="false" customHeight="false" outlineLevel="0" collapsed="false">
      <c r="B6" s="41" t="s">
        <v>83</v>
      </c>
      <c r="C6" s="41" t="s">
        <v>84</v>
      </c>
    </row>
    <row r="7" customFormat="false" ht="15" hidden="false" customHeight="false" outlineLevel="0" collapsed="false">
      <c r="B7" s="41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2026-10-13T18:47:48Z</dcterms:created>
  <dc:creator>openpyxl</dc:creator>
  <dc:description/>
  <dc:language>en-US</dc:language>
  <cp:lastModifiedBy/>
  <dcterms:modified xsi:type="dcterms:W3CDTF">2026-10-13T18:47:48Z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